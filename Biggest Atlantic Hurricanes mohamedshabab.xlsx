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86E7F68F-56EA-42A5-BCFC-573C5368ADF0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<sst xmlns="http://schemas.openxmlformats.org/spreadsheetml/2006/main" count="52" uniqueCount="52">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</sst>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8"/>
      <color theme="4" tint="-0.24997711111789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21">
    <xf numFmtId="0" fontId="0" fillId="0" borderId="0" xfId="0"/>
    <xf numFmtId="164" fontId="0" fillId="0" borderId="0" xfId="1" applyFont="1"/>
    <xf numFmtId="0" fontId="0" fillId="0" borderId="0" xfId="0" applyAlignment="1">
      <alignment horizontal="right"/>
    </xf>
    <xf numFmtId="0" fontId="0" fillId="0" borderId="2" xfId="0" applyBorder="1"/>
    <xf numFmtId="164" fontId="0" fillId="0" borderId="2" xfId="1" applyFont="1" applyBorder="1"/>
    <xf numFmtId="0" fontId="5" fillId="0" borderId="3" xfId="3" applyFont="1" applyBorder="1" applyAlignment="1">
      <alignment wrapText="1"/>
    </xf>
    <xf numFmtId="0" fontId="0" fillId="0" borderId="4" xfId="0" applyBorder="1"/>
    <xf numFmtId="164" fontId="0" fillId="0" borderId="4" xfId="1" applyFont="1" applyBorder="1"/>
    <xf numFmtId="0" fontId="5" fillId="0" borderId="5" xfId="3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5" fillId="0" borderId="8" xfId="3" applyFont="1" applyBorder="1" applyAlignment="1">
      <alignment wrapText="1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5" fillId="0" borderId="5" xfId="3" applyFont="1" applyBorder="1"/>
    <xf numFmtId="0" fontId="5" fillId="0" borderId="8" xfId="3" applyFont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4" fillId="0" borderId="0" xfId="2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15">
    <dxf>
      <alignment horizontal="left" vertical="bottom" textRotation="0" wrapText="0" indent="0" justifyLastLine="0" shrinkToFit="0" readingOrder="0"/>
      <border>
        <left style="thin">
          <color theme="4" tint="0.59999389629810485"/>
        </left>
        <right/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left/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top style="thin">
          <color theme="4" tint="0.59999389629810485"/>
        </top>
      </border>
    </dxf>
    <dxf>
      <border>
        <bottom style="thin">
          <color theme="4" tint="0.59999389629810485"/>
        </bottom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font>
        <color theme="0"/>
      </font>
      <border>
        <left style="thin">
          <color theme="4" tint="0.59999389629810485"/>
        </left>
        <right style="thin">
          <color theme="4" tint="0.59999389629810485"/>
        </right>
        <top/>
        <bottom/>
        <vertical style="thin">
          <color theme="4" tint="0.59999389629810485"/>
        </vertical>
        <horizontal style="thin">
          <color theme="4" tint="0.59999389629810485"/>
        </horizontal>
      </border>
    </dxf>
    <dxf>
      <alignment horizontal="right" vertical="bottom" textRotation="0" wrapText="0" indent="0" justifyLastLine="0" shrinkToFit="0" readingOrder="0"/>
      <border>
        <left style="thin">
          <color theme="4" tint="0.59999389629810485"/>
        </left>
        <right/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left/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top style="thin">
          <color theme="4" tint="0.59999389629810485"/>
        </top>
      </border>
    </dxf>
    <dxf>
      <border>
        <bottom style="thin">
          <color theme="4" tint="0.59999389629810485"/>
        </bottom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font>
        <color theme="0"/>
      </font>
      <alignment horizontal="general" vertical="bottom" textRotation="0" wrapText="1" indent="0" justifyLastLine="0" shrinkToFit="0" readingOrder="0"/>
      <border>
        <left style="thin">
          <color theme="4" tint="0.59999389629810485"/>
        </left>
        <right style="thin">
          <color theme="4" tint="0.59999389629810485"/>
        </right>
        <top/>
        <bottom/>
        <vertical style="thin">
          <color theme="4" tint="0.59999389629810485"/>
        </vertical>
        <horizontal style="thin">
          <color theme="4" tint="0.59999389629810485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A7C55-EE46-4FA1-8828-2D11B3BB2E0D}" name="Table1" displayName="Table1" ref="A3:E24" totalsRowShown="0" headerRowDxfId="14" headerRowBorderDxfId="12" tableBorderDxfId="13" totalsRowBorderDxfId="11" headerRowCellStyle="Heading 3">
  <autoFilter ref="A3:E24" xr:uid="{DD4A7C55-EE46-4FA1-8828-2D11B3BB2E0D}"/>
  <tableColumns count="5">
    <tableColumn id="1" xr3:uid="{EF97D557-EC88-4BF1-93AB-25112A36757C}" name="Name" dataDxfId="10"/>
    <tableColumn id="2" xr3:uid="{8F65932A-2DFB-4351-8C84-C8D9EA45BF95}" name="Start Date" dataDxfId="9"/>
    <tableColumn id="3" xr3:uid="{22902325-98C5-415B-AE68-287FBC7F79E8}" name="Damage _x000a_(USD _x000a_Millions)" dataDxfId="8" dataCellStyle="Comma [0]"/>
    <tableColumn id="4" xr3:uid="{FB636F3E-D096-4A37-BCF7-6E68FA74CE2C}" name="Category*" dataDxfId="7"/>
    <tableColumn id="5" xr3:uid="{9E135670-681B-4BF0-80B1-C99E4FE31CD3}" name="Max _x000a_Wind _x000a_Speed" dataDxfId="6">
      <calculatedColumnFormula array="1">_xlfn.SWITCH(D4, $H$6, $I$6, $H$7, $I$7, $H$8, $I$8, $H$9, $I$9, $H$10, $I$10, "unknown")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D8A0D-A83C-4A0F-ACC0-5C5E95AAE996}" name="Table2" displayName="Table2" ref="H5:I10" totalsRowShown="0" headerRowDxfId="5" headerRowBorderDxfId="3" tableBorderDxfId="4" totalsRowBorderDxfId="2" headerRowCellStyle="Heading 3">
  <autoFilter ref="H5:I10" xr:uid="{EAED8A0D-A83C-4A0F-ACC0-5C5E95AAE996}"/>
  <tableColumns count="2">
    <tableColumn id="1" xr3:uid="{7D448C2D-1941-4FDC-A464-936DFCC293BA}" name="Hurricane Category" dataDxfId="1"/>
    <tableColumn id="2" xr3:uid="{F9CAF222-A935-4BF9-B90A-604A4F6D4B01}" name="Max Wind Speed (mph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L18" sqref="L18"/>
    </sheetView>
  </sheetViews>
  <sheetFormatPr defaultRowHeight="15"/>
  <cols>
    <col min="1" max="1" width="18.7109375" customWidth="1"/>
    <col min="2" max="2" width="22.42578125" bestFit="1" customWidth="1"/>
    <col min="3" max="3" width="11.28515625" bestFit="1" customWidth="1"/>
    <col min="4" max="4" width="12.14062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 customHeight="1">
      <c r="A1" s="19" t="s">
        <v>0</v>
      </c>
      <c r="B1" s="19"/>
      <c r="C1" s="19"/>
      <c r="D1" s="19"/>
      <c r="E1" s="19"/>
    </row>
    <row r="2" spans="1:9">
      <c r="A2" s="19"/>
      <c r="B2" s="19"/>
      <c r="C2" s="19"/>
      <c r="D2" s="19"/>
      <c r="E2" s="19"/>
    </row>
    <row r="3" spans="1:9" ht="44.25" customHeight="1">
      <c r="A3" s="8" t="s">
        <v>1</v>
      </c>
      <c r="B3" s="5" t="s">
        <v>2</v>
      </c>
      <c r="C3" s="5" t="s">
        <v>3</v>
      </c>
      <c r="D3" s="5" t="s">
        <v>4</v>
      </c>
      <c r="E3" s="11" t="s">
        <v>5</v>
      </c>
    </row>
    <row r="4" spans="1:9">
      <c r="A4" s="9" t="s">
        <v>6</v>
      </c>
      <c r="B4" s="3" t="s">
        <v>7</v>
      </c>
      <c r="C4" s="4">
        <v>12</v>
      </c>
      <c r="D4" s="3">
        <v>3</v>
      </c>
      <c r="E4" s="12" cm="1">
        <f t="array" ref="E4">_xlfn.SWITCH(D4, $H$6, $I$6, $H$7, $I$7, $H$8, $I$8, $H$9, $I$9, $H$10, $I$10, "unknown")</f>
        <v>129</v>
      </c>
      <c r="H4" s="20" t="s">
        <v>8</v>
      </c>
      <c r="I4" s="20"/>
    </row>
    <row r="5" spans="1:9">
      <c r="A5" s="9" t="s">
        <v>9</v>
      </c>
      <c r="B5" s="3" t="s">
        <v>10</v>
      </c>
      <c r="C5" s="4">
        <v>1</v>
      </c>
      <c r="D5" s="3">
        <v>3</v>
      </c>
      <c r="E5" s="12" cm="1">
        <f t="array" ref="E5">_xlfn.SWITCH(D5, $H$6, $I$6, $H$7, $I$7, $H$8, $I$8, $H$9, $I$9, $H$10, $I$10, "unknown")</f>
        <v>129</v>
      </c>
      <c r="H5" s="14" t="s">
        <v>11</v>
      </c>
      <c r="I5" s="15" t="s">
        <v>12</v>
      </c>
    </row>
    <row r="6" spans="1:9">
      <c r="A6" s="9" t="s">
        <v>13</v>
      </c>
      <c r="B6" s="3" t="s">
        <v>14</v>
      </c>
      <c r="C6" s="4">
        <v>5</v>
      </c>
      <c r="D6" s="3">
        <v>4</v>
      </c>
      <c r="E6" s="12" cm="1">
        <f t="array" ref="E6">_xlfn.SWITCH(D6, $H$6, $I$6, $H$7, $I$7, $H$8, $I$8, $H$9, $I$9, $H$10, $I$10, "unknown")</f>
        <v>156</v>
      </c>
      <c r="H6" s="9">
        <v>5</v>
      </c>
      <c r="I6" s="16" t="s">
        <v>15</v>
      </c>
    </row>
    <row r="7" spans="1:9">
      <c r="A7" s="9" t="s">
        <v>16</v>
      </c>
      <c r="B7" s="3" t="s">
        <v>17</v>
      </c>
      <c r="C7" s="4">
        <v>20</v>
      </c>
      <c r="D7" s="3">
        <v>4</v>
      </c>
      <c r="E7" s="12" cm="1">
        <f t="array" ref="E7">_xlfn.SWITCH(D7, $H$6, $I$6, $H$7, $I$7, $H$8, $I$8, $H$9, $I$9, $H$10, $I$10, "unknown")</f>
        <v>156</v>
      </c>
      <c r="H7" s="9">
        <v>4</v>
      </c>
      <c r="I7" s="17">
        <v>156</v>
      </c>
    </row>
    <row r="8" spans="1:9">
      <c r="A8" s="9" t="s">
        <v>18</v>
      </c>
      <c r="B8" s="3" t="s">
        <v>19</v>
      </c>
      <c r="C8" s="4">
        <v>20</v>
      </c>
      <c r="D8" s="3">
        <v>4</v>
      </c>
      <c r="E8" s="12" cm="1">
        <f t="array" ref="E8">_xlfn.SWITCH(D8, $H$6, $I$6, $H$7, $I$7, $H$8, $I$8, $H$9, $I$9, $H$10, $I$10, "unknown")</f>
        <v>156</v>
      </c>
      <c r="H8" s="9">
        <v>3</v>
      </c>
      <c r="I8" s="17">
        <v>129</v>
      </c>
    </row>
    <row r="9" spans="1:9">
      <c r="A9" s="9" t="s">
        <v>20</v>
      </c>
      <c r="B9" s="3" t="s">
        <v>21</v>
      </c>
      <c r="C9" s="4">
        <v>50</v>
      </c>
      <c r="D9" s="3">
        <v>3</v>
      </c>
      <c r="E9" s="12" cm="1">
        <f t="array" ref="E9">_xlfn.SWITCH(D9, $H$6, $I$6, $H$7, $I$7, $H$8, $I$8, $H$9, $I$9, $H$10, $I$10, "unknown")</f>
        <v>129</v>
      </c>
      <c r="H9" s="9">
        <v>2</v>
      </c>
      <c r="I9" s="17">
        <v>110</v>
      </c>
    </row>
    <row r="10" spans="1:9">
      <c r="A10" s="9" t="s">
        <v>22</v>
      </c>
      <c r="B10" s="3" t="s">
        <v>23</v>
      </c>
      <c r="C10" s="4">
        <v>100</v>
      </c>
      <c r="D10" s="3">
        <v>5</v>
      </c>
      <c r="E10" s="12" t="str" cm="1">
        <f t="array" ref="E10">_xlfn.SWITCH(D10, $H$6, $I$6, $H$7, $I$7, $H$8, $I$8, $H$9, $I$9, $H$10, $I$10, "unknown")</f>
        <v>157 and over</v>
      </c>
      <c r="H10" s="10">
        <v>1</v>
      </c>
      <c r="I10" s="18">
        <v>95</v>
      </c>
    </row>
    <row r="11" spans="1:9">
      <c r="A11" s="9" t="s">
        <v>24</v>
      </c>
      <c r="B11" s="3" t="s">
        <v>25</v>
      </c>
      <c r="C11" s="4">
        <v>50</v>
      </c>
      <c r="D11" s="3">
        <v>4</v>
      </c>
      <c r="E11" s="12" cm="1">
        <f t="array" ref="E11">_xlfn.SWITCH(D11, $H$6, $I$6, $H$7, $I$7, $H$8, $I$8, $H$9, $I$9, $H$10, $I$10, "unknown")</f>
        <v>156</v>
      </c>
    </row>
    <row r="12" spans="1:9">
      <c r="A12" s="9" t="s">
        <v>26</v>
      </c>
      <c r="B12" s="3" t="s">
        <v>27</v>
      </c>
      <c r="C12" s="4">
        <v>7.5</v>
      </c>
      <c r="D12" s="3">
        <v>4</v>
      </c>
      <c r="E12" s="12" cm="1">
        <f t="array" ref="E12">_xlfn.SWITCH(D12, $H$6, $I$6, $H$7, $I$7, $H$8, $I$8, $H$9, $I$9, $H$10, $I$10, "unknown")</f>
        <v>156</v>
      </c>
    </row>
    <row r="13" spans="1:9">
      <c r="A13" s="9" t="s">
        <v>28</v>
      </c>
      <c r="B13" s="3" t="s">
        <v>29</v>
      </c>
      <c r="C13" s="4">
        <v>40</v>
      </c>
      <c r="D13" s="3">
        <v>5</v>
      </c>
      <c r="E13" s="12" t="str" cm="1">
        <f t="array" ref="E13">_xlfn.SWITCH(D13, $H$6, $I$6, $H$7, $I$7, $H$8, $I$8, $H$9, $I$9, $H$10, $I$10, "unknown")</f>
        <v>157 and over</v>
      </c>
    </row>
    <row r="14" spans="1:9">
      <c r="A14" s="9" t="s">
        <v>30</v>
      </c>
      <c r="B14" s="3" t="s">
        <v>31</v>
      </c>
      <c r="C14" s="4">
        <v>2.6</v>
      </c>
      <c r="D14" s="3">
        <v>2</v>
      </c>
      <c r="E14" s="12" cm="1">
        <f t="array" ref="E14">_xlfn.SWITCH(D14, $H$6, $I$6, $H$7, $I$7, $H$8, $I$8, $H$9, $I$9, $H$10, $I$10, "unknown")</f>
        <v>110</v>
      </c>
    </row>
    <row r="15" spans="1:9">
      <c r="A15" s="9" t="s">
        <v>32</v>
      </c>
      <c r="B15" s="3" t="s">
        <v>33</v>
      </c>
      <c r="C15" s="4">
        <v>16</v>
      </c>
      <c r="D15" s="3">
        <v>1</v>
      </c>
      <c r="E15" s="12" cm="1">
        <f t="array" ref="E15">_xlfn.SWITCH(D15, $H$6, $I$6, $H$7, $I$7, $H$8, $I$8, $H$9, $I$9, $H$10, $I$10, "unknown")</f>
        <v>95</v>
      </c>
    </row>
    <row r="16" spans="1:9">
      <c r="A16" s="9" t="s">
        <v>34</v>
      </c>
      <c r="B16" s="3" t="s">
        <v>35</v>
      </c>
      <c r="C16" s="4">
        <v>529</v>
      </c>
      <c r="D16" s="3">
        <v>4</v>
      </c>
      <c r="E16" s="12" cm="1">
        <f t="array" ref="E16">_xlfn.SWITCH(D16, $H$6, $I$6, $H$7, $I$7, $H$8, $I$8, $H$9, $I$9, $H$10, $I$10, "unknown")</f>
        <v>156</v>
      </c>
    </row>
    <row r="17" spans="1:5">
      <c r="A17" s="9" t="s">
        <v>36</v>
      </c>
      <c r="B17" s="3" t="s">
        <v>37</v>
      </c>
      <c r="C17" s="4">
        <v>1800</v>
      </c>
      <c r="D17" s="3">
        <v>2</v>
      </c>
      <c r="E17" s="12" cm="1">
        <f t="array" ref="E17">_xlfn.SWITCH(D17, $H$6, $I$6, $H$7, $I$7, $H$8, $I$8, $H$9, $I$9, $H$10, $I$10, "unknown")</f>
        <v>110</v>
      </c>
    </row>
    <row r="18" spans="1:5">
      <c r="A18" s="9" t="s">
        <v>38</v>
      </c>
      <c r="B18" s="3" t="s">
        <v>39</v>
      </c>
      <c r="C18" s="4">
        <v>1540</v>
      </c>
      <c r="D18" s="3">
        <v>5</v>
      </c>
      <c r="E18" s="12" t="str" cm="1">
        <f t="array" ref="E18">_xlfn.SWITCH(D18, $H$6, $I$6, $H$7, $I$7, $H$8, $I$8, $H$9, $I$9, $H$10, $I$10, "unknown")</f>
        <v>157 and over</v>
      </c>
    </row>
    <row r="19" spans="1:5">
      <c r="A19" s="9" t="s">
        <v>40</v>
      </c>
      <c r="B19" s="3" t="s">
        <v>41</v>
      </c>
      <c r="C19" s="4">
        <v>594</v>
      </c>
      <c r="D19" s="3">
        <v>1</v>
      </c>
      <c r="E19" s="12" cm="1">
        <f t="array" ref="E19">_xlfn.SWITCH(D19, $H$6, $I$6, $H$7, $I$7, $H$8, $I$8, $H$9, $I$9, $H$10, $I$10, "unknown")</f>
        <v>95</v>
      </c>
    </row>
    <row r="20" spans="1:5">
      <c r="A20" s="9" t="s">
        <v>42</v>
      </c>
      <c r="B20" s="3" t="s">
        <v>43</v>
      </c>
      <c r="C20" s="4">
        <v>6200</v>
      </c>
      <c r="D20" s="3">
        <v>5</v>
      </c>
      <c r="E20" s="12" t="str" cm="1">
        <f t="array" ref="E20">_xlfn.SWITCH(D20, $H$6, $I$6, $H$7, $I$7, $H$8, $I$8, $H$9, $I$9, $H$10, $I$10, "unknown")</f>
        <v>157 and over</v>
      </c>
    </row>
    <row r="21" spans="1:5">
      <c r="A21" s="9" t="s">
        <v>44</v>
      </c>
      <c r="B21" s="3" t="s">
        <v>45</v>
      </c>
      <c r="C21" s="4">
        <v>7660</v>
      </c>
      <c r="D21" s="3">
        <v>3</v>
      </c>
      <c r="E21" s="12" cm="1">
        <f t="array" ref="E21">_xlfn.SWITCH(D21, $H$6, $I$6, $H$7, $I$7, $H$8, $I$8, $H$9, $I$9, $H$10, $I$10, "unknown")</f>
        <v>129</v>
      </c>
    </row>
    <row r="22" spans="1:5">
      <c r="A22" s="9" t="s">
        <v>46</v>
      </c>
      <c r="B22" s="3" t="s">
        <v>47</v>
      </c>
      <c r="C22" s="4">
        <v>108000</v>
      </c>
      <c r="D22" s="3">
        <v>5</v>
      </c>
      <c r="E22" s="12" t="str" cm="1">
        <f t="array" ref="E22">_xlfn.SWITCH(D22, $H$6, $I$6, $H$7, $I$7, $H$8, $I$8, $H$9, $I$9, $H$10, $I$10, "unknown")</f>
        <v>157 and over</v>
      </c>
    </row>
    <row r="23" spans="1:5">
      <c r="A23" s="9" t="s">
        <v>48</v>
      </c>
      <c r="B23" s="3" t="s">
        <v>49</v>
      </c>
      <c r="C23" s="4">
        <v>3960</v>
      </c>
      <c r="D23" s="3">
        <v>1</v>
      </c>
      <c r="E23" s="12" cm="1">
        <f t="array" ref="E23">_xlfn.SWITCH(D23, $H$6, $I$6, $H$7, $I$7, $H$8, $I$8, $H$9, $I$9, $H$10, $I$10, "unknown")</f>
        <v>95</v>
      </c>
    </row>
    <row r="24" spans="1:5">
      <c r="A24" s="10" t="s">
        <v>50</v>
      </c>
      <c r="B24" s="6" t="s">
        <v>51</v>
      </c>
      <c r="C24" s="7">
        <v>300000</v>
      </c>
      <c r="D24" s="6">
        <v>5</v>
      </c>
      <c r="E24" s="13" t="str" cm="1">
        <f t="array" ref="E24">_xlfn.SWITCH(D24, $H$6, $I$6, $H$7, $I$7, $H$8, $I$8, $H$9, $I$9, $H$10, $I$10, "unknown")</f>
        <v>157 and over</v>
      </c>
    </row>
    <row r="25" spans="1:5">
      <c r="C25" s="1"/>
      <c r="E25" s="2"/>
    </row>
    <row r="26" spans="1:5">
      <c r="C26" s="1"/>
    </row>
    <row r="27" spans="1:5">
      <c r="C27" s="1"/>
    </row>
    <row r="28" spans="1:5">
      <c r="C28" s="1"/>
    </row>
    <row r="29" spans="1:5">
      <c r="C29" s="1"/>
    </row>
    <row r="30" spans="1:5">
      <c r="C30" s="1"/>
    </row>
    <row r="31" spans="1:5">
      <c r="C31" s="1"/>
    </row>
    <row r="32" spans="1:5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</sheetData>
  <mergeCells count="2">
    <mergeCell ref="A1:E2"/>
    <mergeCell ref="H4:I4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FF1056E9-45E7-4EE1-B8ED-748AFD02223F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2025-11-22T19:09:57Z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